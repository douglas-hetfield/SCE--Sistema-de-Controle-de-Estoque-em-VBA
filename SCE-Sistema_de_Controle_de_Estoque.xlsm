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ouglas Teixeira\Desktop\dejair\SCE\v1.2\"/>
    </mc:Choice>
  </mc:AlternateContent>
  <bookViews>
    <workbookView xWindow="0" yWindow="0" windowWidth="15345" windowHeight="5085" firstSheet="2" activeTab="5"/>
  </bookViews>
  <sheets>
    <sheet name="SISTEMA" sheetId="1" r:id="rId1"/>
    <sheet name="CADASTRO DE PRODUTOS" sheetId="2" r:id="rId2"/>
    <sheet name="ENTRADA" sheetId="3" r:id="rId3"/>
    <sheet name="SAIDA" sheetId="4" r:id="rId4"/>
    <sheet name="CADASTRO DE GRUPOS" sheetId="5" r:id="rId5"/>
    <sheet name="LOGIN" sheetId="6" r:id="rId6"/>
    <sheet name="PDF" sheetId="7" r:id="rId7"/>
  </sheets>
  <definedNames>
    <definedName name="_Valores">OFFSET('CADASTRO DE PRODUTOS'!$A$2,0,0,COUNTA('CADASTRO DE PRODUTOS'!$A:$A),5)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2" l="1"/>
  <c r="G17" i="2"/>
  <c r="E17" i="2"/>
  <c r="H16" i="2" l="1"/>
  <c r="G16" i="2"/>
  <c r="E16" i="2"/>
  <c r="H15" i="2"/>
  <c r="G15" i="2"/>
  <c r="E15" i="2"/>
  <c r="H14" i="2" l="1"/>
  <c r="G14" i="2"/>
  <c r="E14" i="2"/>
  <c r="H13" i="2" l="1"/>
  <c r="G13" i="2"/>
  <c r="E13" i="2"/>
  <c r="H2" i="2"/>
  <c r="G12" i="2" l="1"/>
  <c r="E12" i="2"/>
  <c r="G11" i="2"/>
  <c r="E11" i="2"/>
  <c r="G10" i="2"/>
  <c r="E10" i="2"/>
  <c r="E9" i="2"/>
  <c r="G8" i="2"/>
  <c r="E8" i="2"/>
  <c r="G7" i="2"/>
  <c r="E7" i="2"/>
  <c r="G6" i="2"/>
  <c r="E6" i="2"/>
  <c r="G5" i="2"/>
  <c r="E5" i="2"/>
  <c r="G4" i="2"/>
  <c r="E4" i="2"/>
  <c r="G3" i="2"/>
  <c r="E3" i="2"/>
  <c r="G2" i="2" l="1"/>
  <c r="E2" i="2"/>
</calcChain>
</file>

<file path=xl/sharedStrings.xml><?xml version="1.0" encoding="utf-8"?>
<sst xmlns="http://schemas.openxmlformats.org/spreadsheetml/2006/main" count="259" uniqueCount="107">
  <si>
    <t>CÓDIGO</t>
  </si>
  <si>
    <t>PRODUTO</t>
  </si>
  <si>
    <t>DATA</t>
  </si>
  <si>
    <t>GRUPO</t>
  </si>
  <si>
    <t>ESTOQUE ATUAL</t>
  </si>
  <si>
    <t>CÓDIGO PROD</t>
  </si>
  <si>
    <t>NOME DO GRUPO</t>
  </si>
  <si>
    <t>NOVO</t>
  </si>
  <si>
    <t>CAP 5.2</t>
  </si>
  <si>
    <t>ALA 4.3</t>
  </si>
  <si>
    <t>NEW TESTE</t>
  </si>
  <si>
    <t>AGORA</t>
  </si>
  <si>
    <t>DEJAIR SOARES</t>
  </si>
  <si>
    <t>ENTRADA/SAÍDA</t>
  </si>
  <si>
    <t>ENTRADA</t>
  </si>
  <si>
    <t>CARVALHO2</t>
  </si>
  <si>
    <t>SAÍDA</t>
  </si>
  <si>
    <t>BRADESCO</t>
  </si>
  <si>
    <t>SANTANDER</t>
  </si>
  <si>
    <t>BB</t>
  </si>
  <si>
    <t>RICA</t>
  </si>
  <si>
    <t>QUANTIDADE</t>
  </si>
  <si>
    <t>ORIGEM</t>
  </si>
  <si>
    <t>Login</t>
  </si>
  <si>
    <t>Senha</t>
  </si>
  <si>
    <t>dejair</t>
  </si>
  <si>
    <t>douglas</t>
  </si>
  <si>
    <t>SIGMA</t>
  </si>
  <si>
    <t>QUANTIDADE SIGMA</t>
  </si>
  <si>
    <t>CÓDIGO SIGMA</t>
  </si>
  <si>
    <t>ESTOQUE SIGMA</t>
  </si>
  <si>
    <t>RICA2</t>
  </si>
  <si>
    <t>SAMSUNG</t>
  </si>
  <si>
    <t>GUANABARA</t>
  </si>
  <si>
    <t>Produto</t>
  </si>
  <si>
    <t>__________________</t>
  </si>
  <si>
    <t>_________________</t>
  </si>
  <si>
    <t>______________</t>
  </si>
  <si>
    <t>____________________</t>
  </si>
  <si>
    <t>Cód. SIGMA:</t>
  </si>
  <si>
    <t>___________________________</t>
  </si>
  <si>
    <t>VIOLÃO</t>
  </si>
  <si>
    <t>5360-29</t>
  </si>
  <si>
    <t>GUITARRA</t>
  </si>
  <si>
    <t>4392.56</t>
  </si>
  <si>
    <t>BATERIA</t>
  </si>
  <si>
    <t>TECLADO</t>
  </si>
  <si>
    <t>123.456-78</t>
  </si>
  <si>
    <t>GAITA</t>
  </si>
  <si>
    <t>UKULELE</t>
  </si>
  <si>
    <t>BAIXO</t>
  </si>
  <si>
    <t>CORDA</t>
  </si>
  <si>
    <t>5360.44</t>
  </si>
  <si>
    <t>1478.52</t>
  </si>
  <si>
    <t>3698.52</t>
  </si>
  <si>
    <t>GOLF</t>
  </si>
  <si>
    <t>55.334.78</t>
  </si>
  <si>
    <t>55.469.48</t>
  </si>
  <si>
    <t>******</t>
  </si>
  <si>
    <t>**********</t>
  </si>
  <si>
    <t>Estoque</t>
  </si>
  <si>
    <t>********** ******</t>
  </si>
  <si>
    <t>COPO</t>
  </si>
  <si>
    <t>LG</t>
  </si>
  <si>
    <t>PHILCO</t>
  </si>
  <si>
    <t>CORT</t>
  </si>
  <si>
    <t>LENOVO</t>
  </si>
  <si>
    <t>BIKE</t>
  </si>
  <si>
    <t>BAHIA</t>
  </si>
  <si>
    <t>ORTOBOM</t>
  </si>
  <si>
    <t>ESTOQUE LAB.</t>
  </si>
  <si>
    <t>QUANTIDADE LAB</t>
  </si>
  <si>
    <t>OPC ESTOQUE</t>
  </si>
  <si>
    <t>Sigma</t>
  </si>
  <si>
    <t>NOTA FISCAL</t>
  </si>
  <si>
    <t>LAPIS</t>
  </si>
  <si>
    <t>123.456.78</t>
  </si>
  <si>
    <t>Comum</t>
  </si>
  <si>
    <t>987654.321.54</t>
  </si>
  <si>
    <t>33395.456.874</t>
  </si>
  <si>
    <t>979.078.123</t>
  </si>
  <si>
    <t>Lab</t>
  </si>
  <si>
    <t>CONTROLE</t>
  </si>
  <si>
    <t>954.786.47</t>
  </si>
  <si>
    <t>963.258.147.845</t>
  </si>
  <si>
    <t>TELEVISÃO</t>
  </si>
  <si>
    <t>195.675.147</t>
  </si>
  <si>
    <t>123.456.789</t>
  </si>
  <si>
    <t>987.654.321</t>
  </si>
  <si>
    <t>649.876.21.54</t>
  </si>
  <si>
    <t>65456.159.753</t>
  </si>
  <si>
    <t>Cód</t>
  </si>
  <si>
    <t>Nota Fiscal</t>
  </si>
  <si>
    <t>Entrada</t>
  </si>
  <si>
    <t>SCE - Sistema</t>
  </si>
  <si>
    <t xml:space="preserve"> de   Controle   de </t>
  </si>
  <si>
    <t>23.036.687</t>
  </si>
  <si>
    <t>GERADOR</t>
  </si>
  <si>
    <t>20.30.40.50</t>
  </si>
  <si>
    <t>50.40.302.10</t>
  </si>
  <si>
    <t>80.70.90.50</t>
  </si>
  <si>
    <t>:TODOS</t>
  </si>
  <si>
    <t>S/ Código</t>
  </si>
  <si>
    <t>ALTO FALANTE</t>
  </si>
  <si>
    <t>FUNCIONOU</t>
  </si>
  <si>
    <t>FUNCIONA</t>
  </si>
  <si>
    <t>Estoque 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</si>
</sst>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0" fillId="0" borderId="0" xfId="0" applyFill="1" applyBorder="1"/>
    <xf numFmtId="14" fontId="0" fillId="0" borderId="0" xfId="0" applyNumberFormat="1" applyFill="1" applyBorder="1"/>
    <xf numFmtId="0" fontId="0" fillId="0" borderId="0" xfId="0" applyBorder="1"/>
    <xf numFmtId="14" fontId="0" fillId="0" borderId="0" xfId="0" applyNumberFormat="1" applyBorder="1"/>
    <xf numFmtId="0" fontId="0" fillId="0" borderId="0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3" borderId="0" xfId="0" applyNumberFormat="1" applyFill="1" applyBorder="1" applyAlignment="1">
      <alignment horizontal="center"/>
    </xf>
    <xf numFmtId="0" fontId="0" fillId="3" borderId="0" xfId="0" applyNumberFormat="1" applyFill="1" applyBorder="1" applyAlignment="1">
      <alignment horizontal="right"/>
    </xf>
    <xf numFmtId="0" fontId="0" fillId="3" borderId="0" xfId="0" applyNumberFormat="1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3" borderId="0" xfId="0" applyFill="1" applyBorder="1" applyAlignment="1">
      <alignment horizontal="right"/>
    </xf>
    <xf numFmtId="0" fontId="1" fillId="3" borderId="0" xfId="0" applyNumberFormat="1" applyFont="1" applyFill="1" applyBorder="1" applyAlignment="1">
      <alignment horizontal="right"/>
    </xf>
    <xf numFmtId="0" fontId="1" fillId="3" borderId="0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3" borderId="0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17"/>
  <sheetViews>
    <sheetView workbookViewId="0">
      <selection activeCell="B18" sqref="B18"/>
    </sheetView>
  </sheetViews>
  <sheetFormatPr defaultRowHeight="15" x14ac:dyDescent="0.25"/>
  <cols>
    <col min="1" max="2" width="16.5703125" customWidth="1"/>
    <col min="3" max="3" width="16.5703125" style="1" customWidth="1"/>
    <col min="4" max="5" width="16.5703125" customWidth="1"/>
    <col min="6" max="6" width="14.140625" style="13" customWidth="1"/>
    <col min="7" max="7" width="15.28515625" customWidth="1"/>
    <col min="8" max="8" width="14.5703125" customWidth="1"/>
  </cols>
  <sheetData>
    <row r="1" spans="1:8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s="13" t="s">
        <v>29</v>
      </c>
      <c r="G1" t="s">
        <v>30</v>
      </c>
      <c r="H1" t="s">
        <v>70</v>
      </c>
    </row>
    <row r="2" spans="1:8" x14ac:dyDescent="0.25">
      <c r="A2">
        <v>1</v>
      </c>
      <c r="B2" t="s">
        <v>41</v>
      </c>
      <c r="C2" s="1">
        <v>43342</v>
      </c>
      <c r="E2">
        <f>SUMIF(ENTRADA!C:C,'CADASTRO DE PRODUTOS'!A2,ENTRADA!E:E)-SUMIF(SAIDA!C:C,'CADASTRO DE PRODUTOS'!A2,SAIDA!E:E)</f>
        <v>5</v>
      </c>
      <c r="F2" s="13" t="s">
        <v>42</v>
      </c>
      <c r="G2">
        <f>SUMIF(ENTRADA!C:C,'CADASTRO DE PRODUTOS'!A2,ENTRADA!G:G)-SUMIF(SAIDA!C:C,'CADASTRO DE PRODUTOS'!A2,SAIDA!H:H)</f>
        <v>10</v>
      </c>
      <c r="H2">
        <f>SUMIF(ENTRADA!C:C,'CADASTRO DE PRODUTOS'!A2,ENTRADA!I:I)-SUMIF(SAIDA!C:C,'CADASTRO DE PRODUTOS'!A2,SAIDA!I:I)</f>
        <v>0</v>
      </c>
    </row>
    <row r="3" spans="1:8" x14ac:dyDescent="0.25">
      <c r="A3">
        <v>2</v>
      </c>
      <c r="B3" t="s">
        <v>43</v>
      </c>
      <c r="C3" s="1">
        <v>43345</v>
      </c>
      <c r="E3">
        <f>SUMIF(ENTRADA!C:C,'CADASTRO DE PRODUTOS'!A3,ENTRADA!E:E)-SUMIF(SAIDA!C:C,'CADASTRO DE PRODUTOS'!A3,SAIDA!E:E)</f>
        <v>0</v>
      </c>
      <c r="F3" s="13" t="s">
        <v>44</v>
      </c>
      <c r="G3">
        <f>SUMIF(ENTRADA!C:C,'CADASTRO DE PRODUTOS'!A3,ENTRADA!G:G)-SUMIF(SAIDA!C:C,'CADASTRO DE PRODUTOS'!A3,SAIDA!H:H)</f>
        <v>0</v>
      </c>
    </row>
    <row r="4" spans="1:8" x14ac:dyDescent="0.25">
      <c r="A4">
        <v>3</v>
      </c>
      <c r="B4" t="s">
        <v>45</v>
      </c>
      <c r="C4" s="1">
        <v>43345</v>
      </c>
      <c r="E4">
        <f>SUMIF(ENTRADA!C:C,'CADASTRO DE PRODUTOS'!A4,ENTRADA!E:E)-SUMIF(SAIDA!C:C,'CADASTRO DE PRODUTOS'!A4,SAIDA!E:E)</f>
        <v>0</v>
      </c>
      <c r="F4" s="13" t="s">
        <v>52</v>
      </c>
      <c r="G4">
        <f>SUMIF(ENTRADA!C:C,'CADASTRO DE PRODUTOS'!A4,ENTRADA!G:G)-SUMIF(SAIDA!C:C,'CADASTRO DE PRODUTOS'!A4,SAIDA!H:H)</f>
        <v>0</v>
      </c>
    </row>
    <row r="5" spans="1:8" x14ac:dyDescent="0.25">
      <c r="A5">
        <v>4</v>
      </c>
      <c r="B5" t="s">
        <v>46</v>
      </c>
      <c r="C5" s="1">
        <v>43345</v>
      </c>
      <c r="E5">
        <f>SUMIF(ENTRADA!C:C,'CADASTRO DE PRODUTOS'!A5,ENTRADA!E:E)-SUMIF(SAIDA!C:C,'CADASTRO DE PRODUTOS'!A5,SAIDA!E:E)</f>
        <v>0</v>
      </c>
      <c r="F5" s="13" t="s">
        <v>47</v>
      </c>
      <c r="G5">
        <f>SUMIF(ENTRADA!C:C,'CADASTRO DE PRODUTOS'!A5,ENTRADA!G:G)-SUMIF(SAIDA!C:C,'CADASTRO DE PRODUTOS'!A5,SAIDA!H:H)</f>
        <v>0</v>
      </c>
    </row>
    <row r="6" spans="1:8" x14ac:dyDescent="0.25">
      <c r="A6">
        <v>5</v>
      </c>
      <c r="B6" t="s">
        <v>48</v>
      </c>
      <c r="C6" s="1">
        <v>43345</v>
      </c>
      <c r="E6">
        <f>SUMIF(ENTRADA!C:C,'CADASTRO DE PRODUTOS'!A6,ENTRADA!E:E)-SUMIF(SAIDA!C:C,'CADASTRO DE PRODUTOS'!A6,SAIDA!E:E)</f>
        <v>0</v>
      </c>
      <c r="F6" s="12">
        <v>321456</v>
      </c>
      <c r="G6">
        <f>SUMIF(ENTRADA!C:C,'CADASTRO DE PRODUTOS'!A6,ENTRADA!G:G)-SUMIF(SAIDA!C:C,'CADASTRO DE PRODUTOS'!A6,SAIDA!H:H)</f>
        <v>20</v>
      </c>
    </row>
    <row r="7" spans="1:8" x14ac:dyDescent="0.25">
      <c r="A7">
        <v>6</v>
      </c>
      <c r="B7" t="s">
        <v>49</v>
      </c>
      <c r="C7" s="1">
        <v>43345</v>
      </c>
      <c r="E7">
        <f>SUMIF(ENTRADA!C:C,'CADASTRO DE PRODUTOS'!A7,ENTRADA!E:E)-SUMIF(SAIDA!C:C,'CADASTRO DE PRODUTOS'!A7,SAIDA!E:E)</f>
        <v>10</v>
      </c>
      <c r="F7" s="12">
        <v>789654</v>
      </c>
      <c r="G7">
        <f>SUMIF(ENTRADA!C:C,'CADASTRO DE PRODUTOS'!A7,ENTRADA!G:G)-SUMIF(SAIDA!C:C,'CADASTRO DE PRODUTOS'!A7,SAIDA!H:H)</f>
        <v>50</v>
      </c>
    </row>
    <row r="8" spans="1:8" x14ac:dyDescent="0.25">
      <c r="A8">
        <v>7</v>
      </c>
      <c r="B8" t="s">
        <v>50</v>
      </c>
      <c r="C8" s="1">
        <v>43345</v>
      </c>
      <c r="E8">
        <f>SUMIF(ENTRADA!C:C,'CADASTRO DE PRODUTOS'!A8,ENTRADA!E:E)-SUMIF(SAIDA!C:C,'CADASTRO DE PRODUTOS'!A8,SAIDA!E:E)</f>
        <v>0</v>
      </c>
      <c r="F8" s="12" t="s">
        <v>54</v>
      </c>
      <c r="G8">
        <f>SUMIF(ENTRADA!C:C,'CADASTRO DE PRODUTOS'!A8,ENTRADA!G:G)-SUMIF(SAIDA!C:C,'CADASTRO DE PRODUTOS'!A8,SAIDA!H:H)</f>
        <v>0</v>
      </c>
    </row>
    <row r="9" spans="1:8" x14ac:dyDescent="0.25">
      <c r="A9">
        <v>8</v>
      </c>
      <c r="B9" t="s">
        <v>51</v>
      </c>
      <c r="C9" s="1">
        <v>43345</v>
      </c>
      <c r="E9">
        <f>SUMIF(ENTRADA!C:C,'CADASTRO DE PRODUTOS'!A9,ENTRADA!E:E)-SUMIF(SAIDA!C:C,'CADASTRO DE PRODUTOS'!A9,SAIDA!E:E)</f>
        <v>0</v>
      </c>
      <c r="F9" s="13" t="s">
        <v>53</v>
      </c>
    </row>
    <row r="10" spans="1:8" x14ac:dyDescent="0.25">
      <c r="A10">
        <v>9</v>
      </c>
      <c r="B10" t="s">
        <v>104</v>
      </c>
      <c r="C10" s="1">
        <v>43345</v>
      </c>
      <c r="E10">
        <f>SUMIF(ENTRADA!C:C,'CADASTRO DE PRODUTOS'!A10,ENTRADA!E:E)-SUMIF(SAIDA!C:C,'CADASTRO DE PRODUTOS'!A10,SAIDA!E:E)</f>
        <v>0</v>
      </c>
      <c r="F10" s="13">
        <v>3404</v>
      </c>
      <c r="G10">
        <f>SUMIF(ENTRADA!C:C,'CADASTRO DE PRODUTOS'!A10,ENTRADA!G:G)-SUMIF(SAIDA!C:C,'CADASTRO DE PRODUTOS'!A10,SAIDA!H:H)</f>
        <v>0</v>
      </c>
    </row>
    <row r="11" spans="1:8" x14ac:dyDescent="0.25">
      <c r="A11">
        <v>10</v>
      </c>
      <c r="B11" t="s">
        <v>55</v>
      </c>
      <c r="C11" s="1">
        <v>43345</v>
      </c>
      <c r="E11">
        <f>SUMIF(ENTRADA!C:C,'CADASTRO DE PRODUTOS'!A11,ENTRADA!E:E)-SUMIF(SAIDA!C:C,'CADASTRO DE PRODUTOS'!A11,SAIDA!E:E)</f>
        <v>0</v>
      </c>
      <c r="F11" s="13" t="s">
        <v>56</v>
      </c>
      <c r="G11">
        <f>SUMIF(ENTRADA!C:C,'CADASTRO DE PRODUTOS'!A11,ENTRADA!G:G)-SUMIF(SAIDA!C:C,'CADASTRO DE PRODUTOS'!A11,SAIDA!H:H)</f>
        <v>0</v>
      </c>
    </row>
    <row r="12" spans="1:8" x14ac:dyDescent="0.25">
      <c r="A12">
        <v>11</v>
      </c>
      <c r="B12" t="s">
        <v>103</v>
      </c>
      <c r="C12" s="1">
        <v>43346</v>
      </c>
      <c r="E12">
        <f>SUMIF(ENTRADA!C:C,'CADASTRO DE PRODUTOS'!A12,ENTRADA!E:E)-SUMIF(SAIDA!C:C,'CADASTRO DE PRODUTOS'!A12,SAIDA!E:E)</f>
        <v>165</v>
      </c>
      <c r="F12" s="13" t="s">
        <v>57</v>
      </c>
      <c r="G12">
        <f>SUMIF(ENTRADA!C:C,'CADASTRO DE PRODUTOS'!A12,ENTRADA!G:G)-SUMIF(SAIDA!C:C,'CADASTRO DE PRODUTOS'!A12,SAIDA!H:H)</f>
        <v>160</v>
      </c>
    </row>
    <row r="13" spans="1:8" x14ac:dyDescent="0.25">
      <c r="A13">
        <v>12</v>
      </c>
      <c r="B13" t="s">
        <v>75</v>
      </c>
      <c r="C13" s="1">
        <v>43371</v>
      </c>
      <c r="E13">
        <f>SUMIF(ENTRADA!C:C,'CADASTRO DE PRODUTOS'!A13,ENTRADA!E:E)-SUMIF(SAIDA!C:C,'CADASTRO DE PRODUTOS'!A13,SAIDA!E:E)</f>
        <v>25</v>
      </c>
      <c r="F13" s="13" t="s">
        <v>76</v>
      </c>
      <c r="G13">
        <f>SUMIF(ENTRADA!C:C,'CADASTRO DE PRODUTOS'!A13,ENTRADA!G:G)-SUMIF(SAIDA!C:C,'CADASTRO DE PRODUTOS'!A13,SAIDA!H:H)</f>
        <v>0</v>
      </c>
      <c r="H13">
        <f>SUMIF(ENTRADA!C:C,'CADASTRO DE PRODUTOS'!A13,ENTRADA!I:I)-SUMIF(SAIDA!C:C,'CADASTRO DE PRODUTOS'!A13,SAIDA!I:I)</f>
        <v>15</v>
      </c>
    </row>
    <row r="14" spans="1:8" x14ac:dyDescent="0.25">
      <c r="A14">
        <v>13</v>
      </c>
      <c r="B14" t="s">
        <v>82</v>
      </c>
      <c r="C14" s="1">
        <v>43391</v>
      </c>
      <c r="E14">
        <f>SUMIF(ENTRADA!C:C,'CADASTRO DE PRODUTOS'!A14,ENTRADA!E:E)-SUMIF(SAIDA!C:C,'CADASTRO DE PRODUTOS'!A14,SAIDA!E:E)</f>
        <v>75</v>
      </c>
      <c r="F14" s="13" t="s">
        <v>83</v>
      </c>
      <c r="G14">
        <f>SUMIF(ENTRADA!C:C,'CADASTRO DE PRODUTOS'!A14,ENTRADA!G:G)-SUMIF(SAIDA!C:C,'CADASTRO DE PRODUTOS'!A14,SAIDA!H:H)</f>
        <v>0</v>
      </c>
      <c r="H14">
        <f>SUMIF(ENTRADA!C:C,'CADASTRO DE PRODUTOS'!A14,ENTRADA!I:I)-SUMIF(SAIDA!C:C,'CADASTRO DE PRODUTOS'!A14,SAIDA!I:I)</f>
        <v>0</v>
      </c>
    </row>
    <row r="15" spans="1:8" x14ac:dyDescent="0.25">
      <c r="A15">
        <v>14</v>
      </c>
      <c r="B15" t="s">
        <v>85</v>
      </c>
      <c r="C15" s="1">
        <v>43398</v>
      </c>
      <c r="E15">
        <f>SUMIF(ENTRADA!C:C,'CADASTRO DE PRODUTOS'!A15,ENTRADA!E:E)-SUMIF(SAIDA!C:C,'CADASTRO DE PRODUTOS'!A15,SAIDA!E:E)</f>
        <v>40</v>
      </c>
      <c r="F15" s="13" t="s">
        <v>86</v>
      </c>
      <c r="G15">
        <f>SUMIF(ENTRADA!C:C,'CADASTRO DE PRODUTOS'!A15,ENTRADA!G:G)-SUMIF(SAIDA!C:C,'CADASTRO DE PRODUTOS'!A15,SAIDA!H:H)</f>
        <v>100</v>
      </c>
      <c r="H15">
        <f>SUMIF(ENTRADA!C:C,'CADASTRO DE PRODUTOS'!A15,ENTRADA!I:I)-SUMIF(SAIDA!C:C,'CADASTRO DE PRODUTOS'!A15,SAIDA!I:I)</f>
        <v>200</v>
      </c>
    </row>
    <row r="16" spans="1:8" x14ac:dyDescent="0.25">
      <c r="A16">
        <v>15</v>
      </c>
      <c r="B16" t="s">
        <v>105</v>
      </c>
      <c r="C16" s="1">
        <v>43398</v>
      </c>
      <c r="E16">
        <f>SUMIF(ENTRADA!C:C,'CADASTRO DE PRODUTOS'!A16,ENTRADA!E:E)-SUMIF(SAIDA!C:C,'CADASTRO DE PRODUTOS'!A16,SAIDA!E:E)</f>
        <v>200</v>
      </c>
      <c r="F16" s="13" t="s">
        <v>90</v>
      </c>
      <c r="G16">
        <f>SUMIF(ENTRADA!C:C,'CADASTRO DE PRODUTOS'!A16,ENTRADA!G:G)-SUMIF(SAIDA!C:C,'CADASTRO DE PRODUTOS'!A16,SAIDA!H:H)</f>
        <v>100</v>
      </c>
      <c r="H16">
        <f>SUMIF(ENTRADA!C:C,'CADASTRO DE PRODUTOS'!A16,ENTRADA!I:I)-SUMIF(SAIDA!C:C,'CADASTRO DE PRODUTOS'!A16,SAIDA!I:I)</f>
        <v>300</v>
      </c>
    </row>
    <row r="17" spans="1:8" x14ac:dyDescent="0.25">
      <c r="A17">
        <v>16</v>
      </c>
      <c r="B17" t="s">
        <v>97</v>
      </c>
      <c r="C17" s="1">
        <v>43422</v>
      </c>
      <c r="E17">
        <f>SUMIF(ENTRADA!C:C,'CADASTRO DE PRODUTOS'!A17,ENTRADA!E:E)-SUMIF(SAIDA!C:C,'CADASTRO DE PRODUTOS'!A17,SAIDA!E:E)</f>
        <v>100</v>
      </c>
      <c r="F17" s="13" t="s">
        <v>96</v>
      </c>
      <c r="G17">
        <f>SUMIF(ENTRADA!C:C,'CADASTRO DE PRODUTOS'!A17,ENTRADA!G:G)-SUMIF(SAIDA!C:C,'CADASTRO DE PRODUTOS'!A17,SAIDA!H:H)</f>
        <v>40</v>
      </c>
      <c r="H17">
        <f>SUMIF(ENTRADA!C:C,'CADASTRO DE PRODUTOS'!A17,ENTRADA!I:I)-SUMIF(SAIDA!C:C,'CADASTRO DE PRODUTOS'!A17,SAIDA!I:I)</f>
        <v>300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25"/>
  <sheetViews>
    <sheetView workbookViewId="0">
      <selection activeCell="D2" sqref="D2"/>
    </sheetView>
  </sheetViews>
  <sheetFormatPr defaultRowHeight="15" x14ac:dyDescent="0.25"/>
  <cols>
    <col min="1" max="1" width="13.85546875" customWidth="1"/>
    <col min="2" max="2" width="13.85546875" style="1" customWidth="1"/>
    <col min="3" max="5" width="13.85546875" customWidth="1"/>
    <col min="6" max="6" width="13.42578125" customWidth="1"/>
    <col min="7" max="7" width="18.5703125" customWidth="1"/>
    <col min="8" max="8" width="17.140625" customWidth="1"/>
    <col min="9" max="9" width="16.5703125" customWidth="1"/>
    <col min="10" max="10" width="13.140625" customWidth="1"/>
  </cols>
  <sheetData>
    <row r="1" spans="1:10" x14ac:dyDescent="0.25">
      <c r="A1" t="s">
        <v>0</v>
      </c>
      <c r="B1" s="1" t="s">
        <v>2</v>
      </c>
      <c r="C1" t="s">
        <v>5</v>
      </c>
      <c r="D1" t="s">
        <v>1</v>
      </c>
      <c r="E1" t="s">
        <v>21</v>
      </c>
      <c r="F1" t="s">
        <v>22</v>
      </c>
      <c r="G1" t="s">
        <v>28</v>
      </c>
      <c r="H1" t="s">
        <v>72</v>
      </c>
      <c r="I1" t="s">
        <v>71</v>
      </c>
      <c r="J1" t="s">
        <v>74</v>
      </c>
    </row>
    <row r="2" spans="1:10" x14ac:dyDescent="0.25">
      <c r="A2">
        <v>1</v>
      </c>
      <c r="B2" s="1">
        <v>43342</v>
      </c>
      <c r="C2">
        <v>1</v>
      </c>
      <c r="D2" t="s">
        <v>41</v>
      </c>
      <c r="E2">
        <v>10</v>
      </c>
      <c r="F2" t="s">
        <v>31</v>
      </c>
      <c r="H2" t="s">
        <v>77</v>
      </c>
    </row>
    <row r="3" spans="1:10" x14ac:dyDescent="0.25">
      <c r="A3" s="2">
        <v>2</v>
      </c>
      <c r="B3" s="3">
        <v>43342</v>
      </c>
      <c r="C3" s="2">
        <v>1</v>
      </c>
      <c r="D3" s="2" t="s">
        <v>41</v>
      </c>
      <c r="E3" s="2"/>
      <c r="F3" s="2" t="s">
        <v>17</v>
      </c>
      <c r="G3" s="4">
        <v>15</v>
      </c>
      <c r="H3" s="4" t="s">
        <v>73</v>
      </c>
    </row>
    <row r="4" spans="1:10" x14ac:dyDescent="0.25">
      <c r="A4" s="4">
        <v>3</v>
      </c>
      <c r="B4" s="5">
        <v>43342</v>
      </c>
      <c r="C4" s="4">
        <v>1</v>
      </c>
      <c r="D4" s="4" t="s">
        <v>41</v>
      </c>
      <c r="E4" s="4">
        <v>0</v>
      </c>
      <c r="F4" s="4" t="s">
        <v>11</v>
      </c>
      <c r="G4" s="4">
        <v>5</v>
      </c>
      <c r="H4" s="4" t="s">
        <v>73</v>
      </c>
    </row>
    <row r="5" spans="1:10" x14ac:dyDescent="0.25">
      <c r="A5" s="2">
        <v>4</v>
      </c>
      <c r="B5" s="3">
        <v>43346</v>
      </c>
      <c r="C5" s="2">
        <v>11</v>
      </c>
      <c r="D5" s="2" t="s">
        <v>103</v>
      </c>
      <c r="E5" s="2">
        <v>10</v>
      </c>
      <c r="F5" s="2" t="s">
        <v>11</v>
      </c>
      <c r="G5" s="4"/>
      <c r="H5" s="4" t="s">
        <v>77</v>
      </c>
    </row>
    <row r="6" spans="1:10" x14ac:dyDescent="0.25">
      <c r="A6" s="4">
        <v>5</v>
      </c>
      <c r="B6" s="5">
        <v>43346</v>
      </c>
      <c r="C6" s="4">
        <v>11</v>
      </c>
      <c r="D6" s="4" t="s">
        <v>103</v>
      </c>
      <c r="E6" s="4"/>
      <c r="F6" s="4" t="s">
        <v>17</v>
      </c>
      <c r="G6" s="4">
        <v>1</v>
      </c>
      <c r="H6" s="4" t="s">
        <v>73</v>
      </c>
    </row>
    <row r="7" spans="1:10" x14ac:dyDescent="0.25">
      <c r="A7" s="4">
        <v>6</v>
      </c>
      <c r="B7" s="5">
        <v>43364</v>
      </c>
      <c r="C7" s="4">
        <v>6</v>
      </c>
      <c r="D7" s="4" t="s">
        <v>49</v>
      </c>
      <c r="E7" s="4"/>
      <c r="F7" s="4" t="s">
        <v>17</v>
      </c>
      <c r="G7" s="4">
        <v>50</v>
      </c>
      <c r="H7" s="4" t="s">
        <v>73</v>
      </c>
    </row>
    <row r="8" spans="1:10" x14ac:dyDescent="0.25">
      <c r="A8" s="4">
        <v>8</v>
      </c>
      <c r="B8" s="5">
        <v>43371</v>
      </c>
      <c r="C8" s="4">
        <v>6</v>
      </c>
      <c r="D8" s="4" t="s">
        <v>49</v>
      </c>
      <c r="E8" s="4">
        <v>10</v>
      </c>
      <c r="F8" s="4" t="s">
        <v>17</v>
      </c>
      <c r="G8" s="4"/>
      <c r="H8" s="4" t="s">
        <v>77</v>
      </c>
    </row>
    <row r="9" spans="1:10" x14ac:dyDescent="0.25">
      <c r="A9" s="4">
        <v>9</v>
      </c>
      <c r="B9" s="5">
        <v>43371</v>
      </c>
      <c r="C9" s="4">
        <v>11</v>
      </c>
      <c r="D9" s="4" t="s">
        <v>103</v>
      </c>
      <c r="E9" s="4">
        <v>155</v>
      </c>
      <c r="F9" s="4" t="s">
        <v>18</v>
      </c>
      <c r="G9" s="4">
        <v>0</v>
      </c>
      <c r="H9" s="4" t="s">
        <v>77</v>
      </c>
      <c r="I9">
        <v>0</v>
      </c>
      <c r="J9">
        <v>9584455200</v>
      </c>
    </row>
    <row r="10" spans="1:10" x14ac:dyDescent="0.25">
      <c r="A10" s="4">
        <v>10</v>
      </c>
      <c r="B10" s="5">
        <v>43371</v>
      </c>
      <c r="C10" s="4">
        <v>11</v>
      </c>
      <c r="D10" s="4" t="s">
        <v>103</v>
      </c>
      <c r="E10" s="4"/>
      <c r="F10" s="4" t="s">
        <v>10</v>
      </c>
      <c r="G10" s="4">
        <v>365</v>
      </c>
      <c r="H10" s="4" t="s">
        <v>73</v>
      </c>
      <c r="J10" t="s">
        <v>78</v>
      </c>
    </row>
    <row r="11" spans="1:10" x14ac:dyDescent="0.25">
      <c r="A11" s="4">
        <v>11</v>
      </c>
      <c r="B11" s="5">
        <v>43371</v>
      </c>
      <c r="C11" s="4">
        <v>11</v>
      </c>
      <c r="D11" s="4" t="s">
        <v>103</v>
      </c>
      <c r="E11" s="4">
        <v>0</v>
      </c>
      <c r="F11" s="4" t="s">
        <v>17</v>
      </c>
      <c r="G11" s="4">
        <v>0</v>
      </c>
      <c r="H11" s="4" t="s">
        <v>73</v>
      </c>
      <c r="I11">
        <v>0</v>
      </c>
      <c r="J11">
        <v>123456</v>
      </c>
    </row>
    <row r="12" spans="1:10" x14ac:dyDescent="0.25">
      <c r="A12" s="4">
        <v>12</v>
      </c>
      <c r="B12" s="5">
        <v>43371</v>
      </c>
      <c r="C12" s="4">
        <v>5</v>
      </c>
      <c r="D12" s="4" t="s">
        <v>48</v>
      </c>
      <c r="E12" s="4">
        <v>0</v>
      </c>
      <c r="F12" s="4" t="s">
        <v>18</v>
      </c>
      <c r="G12" s="4">
        <v>20</v>
      </c>
      <c r="H12" s="4" t="s">
        <v>73</v>
      </c>
      <c r="I12">
        <v>0</v>
      </c>
      <c r="J12">
        <v>456</v>
      </c>
    </row>
    <row r="13" spans="1:10" x14ac:dyDescent="0.25">
      <c r="A13" s="4">
        <v>13</v>
      </c>
      <c r="B13" s="5">
        <v>43382</v>
      </c>
      <c r="C13" s="4">
        <v>12</v>
      </c>
      <c r="D13" s="4" t="s">
        <v>75</v>
      </c>
      <c r="E13" s="4">
        <v>10</v>
      </c>
      <c r="F13" s="4" t="s">
        <v>17</v>
      </c>
      <c r="G13" s="4"/>
      <c r="H13" s="4" t="s">
        <v>77</v>
      </c>
      <c r="J13" t="s">
        <v>79</v>
      </c>
    </row>
    <row r="14" spans="1:10" x14ac:dyDescent="0.25">
      <c r="A14" s="4">
        <v>14</v>
      </c>
      <c r="B14" s="5">
        <v>43382</v>
      </c>
      <c r="C14" s="4">
        <v>12</v>
      </c>
      <c r="D14" s="4" t="s">
        <v>75</v>
      </c>
      <c r="E14" s="4">
        <v>15</v>
      </c>
      <c r="F14" s="4" t="s">
        <v>10</v>
      </c>
      <c r="G14" s="4">
        <v>0</v>
      </c>
      <c r="H14" s="4" t="s">
        <v>77</v>
      </c>
      <c r="I14">
        <v>0</v>
      </c>
      <c r="J14" t="s">
        <v>80</v>
      </c>
    </row>
    <row r="15" spans="1:10" x14ac:dyDescent="0.25">
      <c r="A15" s="4">
        <v>15</v>
      </c>
      <c r="B15" s="5">
        <v>43382</v>
      </c>
      <c r="C15" s="4">
        <v>12</v>
      </c>
      <c r="D15" s="4" t="s">
        <v>75</v>
      </c>
      <c r="E15" s="4"/>
      <c r="F15" s="4" t="s">
        <v>11</v>
      </c>
      <c r="G15" s="4"/>
      <c r="H15" s="4" t="s">
        <v>81</v>
      </c>
      <c r="I15">
        <v>15</v>
      </c>
    </row>
    <row r="16" spans="1:10" x14ac:dyDescent="0.25">
      <c r="A16" s="4">
        <v>16</v>
      </c>
      <c r="B16" s="5">
        <v>43391</v>
      </c>
      <c r="C16" s="4">
        <v>13</v>
      </c>
      <c r="D16" s="4" t="s">
        <v>82</v>
      </c>
      <c r="E16" s="4">
        <v>100</v>
      </c>
      <c r="F16" s="4" t="s">
        <v>17</v>
      </c>
      <c r="G16" s="4"/>
      <c r="H16" s="4" t="s">
        <v>77</v>
      </c>
      <c r="J16" t="s">
        <v>84</v>
      </c>
    </row>
    <row r="17" spans="1:10" x14ac:dyDescent="0.25">
      <c r="A17" s="4">
        <v>17</v>
      </c>
      <c r="B17" s="5">
        <v>43398</v>
      </c>
      <c r="C17" s="4">
        <v>14</v>
      </c>
      <c r="D17" s="4" t="s">
        <v>85</v>
      </c>
      <c r="E17" s="4">
        <v>50</v>
      </c>
      <c r="F17" s="4" t="s">
        <v>19</v>
      </c>
      <c r="G17" s="4">
        <v>0</v>
      </c>
      <c r="H17" s="4" t="s">
        <v>77</v>
      </c>
      <c r="I17">
        <v>0</v>
      </c>
      <c r="J17" t="s">
        <v>87</v>
      </c>
    </row>
    <row r="18" spans="1:10" x14ac:dyDescent="0.25">
      <c r="A18">
        <v>18</v>
      </c>
      <c r="B18" s="1">
        <v>43398</v>
      </c>
      <c r="C18">
        <v>14</v>
      </c>
      <c r="D18" t="s">
        <v>85</v>
      </c>
      <c r="E18">
        <v>0</v>
      </c>
      <c r="F18" t="s">
        <v>18</v>
      </c>
      <c r="G18">
        <v>150</v>
      </c>
      <c r="H18" t="s">
        <v>73</v>
      </c>
      <c r="I18">
        <v>0</v>
      </c>
      <c r="J18" t="s">
        <v>88</v>
      </c>
    </row>
    <row r="19" spans="1:10" x14ac:dyDescent="0.25">
      <c r="A19">
        <v>19</v>
      </c>
      <c r="B19" s="1">
        <v>43398</v>
      </c>
      <c r="C19">
        <v>14</v>
      </c>
      <c r="D19" t="s">
        <v>85</v>
      </c>
      <c r="E19">
        <v>0</v>
      </c>
      <c r="F19" t="s">
        <v>11</v>
      </c>
      <c r="G19">
        <v>0</v>
      </c>
      <c r="H19" t="s">
        <v>81</v>
      </c>
      <c r="I19">
        <v>200</v>
      </c>
      <c r="J19" t="s">
        <v>89</v>
      </c>
    </row>
    <row r="20" spans="1:10" x14ac:dyDescent="0.25">
      <c r="A20">
        <v>20</v>
      </c>
      <c r="B20" s="1">
        <v>43402</v>
      </c>
      <c r="C20">
        <v>15</v>
      </c>
      <c r="D20" t="s">
        <v>105</v>
      </c>
      <c r="E20">
        <v>200</v>
      </c>
      <c r="F20" t="s">
        <v>17</v>
      </c>
      <c r="G20">
        <v>0</v>
      </c>
      <c r="H20" t="s">
        <v>77</v>
      </c>
      <c r="I20">
        <v>0</v>
      </c>
    </row>
    <row r="21" spans="1:10" x14ac:dyDescent="0.25">
      <c r="A21">
        <v>21</v>
      </c>
      <c r="B21" s="1">
        <v>43402</v>
      </c>
      <c r="C21">
        <v>15</v>
      </c>
      <c r="D21" t="s">
        <v>105</v>
      </c>
      <c r="E21">
        <v>0</v>
      </c>
      <c r="F21" t="s">
        <v>10</v>
      </c>
      <c r="G21">
        <v>100</v>
      </c>
      <c r="H21" t="s">
        <v>73</v>
      </c>
      <c r="I21">
        <v>0</v>
      </c>
    </row>
    <row r="22" spans="1:10" x14ac:dyDescent="0.25">
      <c r="A22">
        <v>22</v>
      </c>
      <c r="B22" s="1">
        <v>43402</v>
      </c>
      <c r="C22">
        <v>15</v>
      </c>
      <c r="D22" t="s">
        <v>105</v>
      </c>
      <c r="E22">
        <v>0</v>
      </c>
      <c r="F22" t="s">
        <v>31</v>
      </c>
      <c r="G22">
        <v>0</v>
      </c>
      <c r="H22" t="s">
        <v>81</v>
      </c>
      <c r="I22">
        <v>300</v>
      </c>
    </row>
    <row r="23" spans="1:10" x14ac:dyDescent="0.25">
      <c r="A23">
        <v>23</v>
      </c>
      <c r="B23" s="1">
        <v>43422</v>
      </c>
      <c r="C23">
        <v>16</v>
      </c>
      <c r="D23" t="s">
        <v>97</v>
      </c>
      <c r="E23">
        <v>125</v>
      </c>
      <c r="F23" t="s">
        <v>9</v>
      </c>
      <c r="G23">
        <v>0</v>
      </c>
      <c r="H23" t="s">
        <v>77</v>
      </c>
      <c r="I23">
        <v>0</v>
      </c>
      <c r="J23" t="s">
        <v>98</v>
      </c>
    </row>
    <row r="24" spans="1:10" x14ac:dyDescent="0.25">
      <c r="A24">
        <v>24</v>
      </c>
      <c r="B24" s="1">
        <v>43422</v>
      </c>
      <c r="C24">
        <v>16</v>
      </c>
      <c r="D24" t="s">
        <v>97</v>
      </c>
      <c r="E24">
        <v>0</v>
      </c>
      <c r="F24" t="s">
        <v>18</v>
      </c>
      <c r="G24">
        <v>0</v>
      </c>
      <c r="H24" t="s">
        <v>81</v>
      </c>
      <c r="I24">
        <v>400</v>
      </c>
      <c r="J24" t="s">
        <v>99</v>
      </c>
    </row>
    <row r="25" spans="1:10" x14ac:dyDescent="0.25">
      <c r="A25">
        <v>25</v>
      </c>
      <c r="B25" s="1">
        <v>43422</v>
      </c>
      <c r="C25">
        <v>16</v>
      </c>
      <c r="D25" t="s">
        <v>97</v>
      </c>
      <c r="E25">
        <v>0</v>
      </c>
      <c r="F25" t="s">
        <v>18</v>
      </c>
      <c r="G25">
        <v>50</v>
      </c>
      <c r="H25" t="s">
        <v>73</v>
      </c>
      <c r="I25">
        <v>0</v>
      </c>
      <c r="J25" t="s">
        <v>100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19"/>
  <sheetViews>
    <sheetView workbookViewId="0">
      <selection activeCell="G17" sqref="G17"/>
    </sheetView>
  </sheetViews>
  <sheetFormatPr defaultRowHeight="15" x14ac:dyDescent="0.25"/>
  <cols>
    <col min="1" max="1" width="14.28515625" customWidth="1"/>
    <col min="2" max="2" width="11.85546875" customWidth="1"/>
    <col min="3" max="3" width="13.7109375" customWidth="1"/>
    <col min="4" max="5" width="14.28515625" customWidth="1"/>
    <col min="7" max="7" width="16.5703125" customWidth="1"/>
    <col min="8" max="8" width="18.85546875" customWidth="1"/>
    <col min="9" max="9" width="17.85546875" customWidth="1"/>
  </cols>
  <sheetData>
    <row r="1" spans="1:9" x14ac:dyDescent="0.25">
      <c r="A1" t="s">
        <v>0</v>
      </c>
      <c r="B1" s="1" t="s">
        <v>2</v>
      </c>
      <c r="C1" t="s">
        <v>5</v>
      </c>
      <c r="D1" t="s">
        <v>1</v>
      </c>
      <c r="E1" t="s">
        <v>21</v>
      </c>
      <c r="F1" t="s">
        <v>16</v>
      </c>
      <c r="G1" t="s">
        <v>27</v>
      </c>
      <c r="H1" t="s">
        <v>28</v>
      </c>
      <c r="I1" t="s">
        <v>71</v>
      </c>
    </row>
    <row r="2" spans="1:9" x14ac:dyDescent="0.25">
      <c r="A2">
        <v>1</v>
      </c>
      <c r="B2" s="1">
        <v>43342</v>
      </c>
      <c r="C2">
        <v>1</v>
      </c>
      <c r="D2" t="s">
        <v>41</v>
      </c>
      <c r="E2">
        <v>0</v>
      </c>
      <c r="F2" t="s">
        <v>7</v>
      </c>
      <c r="G2" t="s">
        <v>73</v>
      </c>
      <c r="H2">
        <v>5</v>
      </c>
      <c r="I2">
        <v>0</v>
      </c>
    </row>
    <row r="3" spans="1:9" x14ac:dyDescent="0.25">
      <c r="A3">
        <v>2</v>
      </c>
      <c r="B3" s="1">
        <v>43342</v>
      </c>
      <c r="C3">
        <v>1</v>
      </c>
      <c r="D3" t="s">
        <v>41</v>
      </c>
      <c r="E3">
        <v>0</v>
      </c>
      <c r="F3" t="s">
        <v>7</v>
      </c>
      <c r="G3" t="s">
        <v>73</v>
      </c>
      <c r="H3">
        <v>5</v>
      </c>
      <c r="I3">
        <v>0</v>
      </c>
    </row>
    <row r="4" spans="1:9" x14ac:dyDescent="0.25">
      <c r="A4">
        <v>3</v>
      </c>
      <c r="B4" s="1">
        <v>43345</v>
      </c>
      <c r="C4">
        <v>1</v>
      </c>
      <c r="D4" t="s">
        <v>41</v>
      </c>
      <c r="E4">
        <v>5</v>
      </c>
      <c r="F4" t="s">
        <v>7</v>
      </c>
      <c r="G4" t="s">
        <v>77</v>
      </c>
      <c r="H4">
        <v>0</v>
      </c>
      <c r="I4">
        <v>0</v>
      </c>
    </row>
    <row r="5" spans="1:9" x14ac:dyDescent="0.25">
      <c r="A5">
        <v>4</v>
      </c>
      <c r="B5" s="1">
        <v>43346</v>
      </c>
      <c r="C5">
        <v>11</v>
      </c>
      <c r="D5" t="s">
        <v>103</v>
      </c>
      <c r="E5">
        <v>0</v>
      </c>
      <c r="F5" t="s">
        <v>7</v>
      </c>
      <c r="G5" t="s">
        <v>73</v>
      </c>
      <c r="H5">
        <v>1</v>
      </c>
      <c r="I5">
        <v>0</v>
      </c>
    </row>
    <row r="6" spans="1:9" x14ac:dyDescent="0.25">
      <c r="A6">
        <v>7</v>
      </c>
      <c r="B6" s="1">
        <v>43383</v>
      </c>
      <c r="C6">
        <v>11</v>
      </c>
      <c r="D6" t="s">
        <v>103</v>
      </c>
      <c r="E6">
        <v>0</v>
      </c>
      <c r="F6" t="s">
        <v>20</v>
      </c>
      <c r="G6" t="s">
        <v>73</v>
      </c>
      <c r="H6">
        <v>165</v>
      </c>
      <c r="I6">
        <v>0</v>
      </c>
    </row>
    <row r="7" spans="1:9" x14ac:dyDescent="0.25">
      <c r="A7">
        <v>8</v>
      </c>
      <c r="B7" s="1">
        <v>43398</v>
      </c>
      <c r="C7">
        <v>14</v>
      </c>
      <c r="D7" t="s">
        <v>85</v>
      </c>
      <c r="E7">
        <v>0</v>
      </c>
      <c r="F7" t="s">
        <v>7</v>
      </c>
      <c r="G7" t="s">
        <v>73</v>
      </c>
      <c r="H7">
        <v>50</v>
      </c>
      <c r="I7">
        <v>0</v>
      </c>
    </row>
    <row r="8" spans="1:9" x14ac:dyDescent="0.25">
      <c r="A8">
        <v>9</v>
      </c>
      <c r="B8" s="1">
        <v>43398</v>
      </c>
      <c r="C8">
        <v>13</v>
      </c>
      <c r="D8" t="s">
        <v>82</v>
      </c>
      <c r="E8">
        <v>25</v>
      </c>
      <c r="F8" t="s">
        <v>33</v>
      </c>
      <c r="G8" t="s">
        <v>77</v>
      </c>
      <c r="H8">
        <v>0</v>
      </c>
      <c r="I8">
        <v>0</v>
      </c>
    </row>
    <row r="9" spans="1:9" x14ac:dyDescent="0.25">
      <c r="A9">
        <v>10</v>
      </c>
      <c r="B9" s="1">
        <v>43398</v>
      </c>
      <c r="C9">
        <v>11</v>
      </c>
      <c r="D9" t="s">
        <v>103</v>
      </c>
      <c r="E9">
        <v>0</v>
      </c>
      <c r="F9" t="s">
        <v>7</v>
      </c>
      <c r="G9" t="s">
        <v>73</v>
      </c>
      <c r="H9">
        <v>40</v>
      </c>
      <c r="I9">
        <v>0</v>
      </c>
    </row>
    <row r="10" spans="1:9" x14ac:dyDescent="0.25">
      <c r="A10">
        <v>11</v>
      </c>
      <c r="B10" s="1">
        <v>43398</v>
      </c>
      <c r="C10">
        <v>14</v>
      </c>
      <c r="D10" t="s">
        <v>85</v>
      </c>
      <c r="E10">
        <v>10</v>
      </c>
      <c r="F10" t="s">
        <v>8</v>
      </c>
      <c r="G10" t="s">
        <v>77</v>
      </c>
      <c r="H10">
        <v>0</v>
      </c>
      <c r="I10">
        <v>0</v>
      </c>
    </row>
    <row r="11" spans="1:9" x14ac:dyDescent="0.25">
      <c r="A11">
        <v>12</v>
      </c>
      <c r="B11" s="1">
        <v>43422</v>
      </c>
      <c r="C11">
        <v>16</v>
      </c>
      <c r="D11" t="s">
        <v>97</v>
      </c>
      <c r="E11">
        <v>25</v>
      </c>
      <c r="F11" t="s">
        <v>12</v>
      </c>
      <c r="G11" t="s">
        <v>77</v>
      </c>
      <c r="H11">
        <v>0</v>
      </c>
      <c r="I11">
        <v>0</v>
      </c>
    </row>
    <row r="12" spans="1:9" x14ac:dyDescent="0.25">
      <c r="A12">
        <v>13</v>
      </c>
      <c r="B12" s="1">
        <v>43422</v>
      </c>
      <c r="C12">
        <v>16</v>
      </c>
      <c r="D12" t="s">
        <v>97</v>
      </c>
      <c r="E12">
        <v>0</v>
      </c>
      <c r="F12" t="s">
        <v>20</v>
      </c>
      <c r="G12" t="s">
        <v>73</v>
      </c>
      <c r="H12">
        <v>10</v>
      </c>
      <c r="I12">
        <v>0</v>
      </c>
    </row>
    <row r="13" spans="1:9" x14ac:dyDescent="0.25">
      <c r="A13">
        <v>14</v>
      </c>
      <c r="B13" s="1">
        <v>43422</v>
      </c>
      <c r="C13">
        <v>16</v>
      </c>
      <c r="D13" t="s">
        <v>97</v>
      </c>
      <c r="E13">
        <v>0</v>
      </c>
      <c r="F13" t="s">
        <v>67</v>
      </c>
      <c r="G13" t="s">
        <v>81</v>
      </c>
      <c r="H13">
        <v>0</v>
      </c>
      <c r="I13">
        <v>100</v>
      </c>
    </row>
    <row r="14" spans="1:9" x14ac:dyDescent="0.25">
      <c r="B14" s="1"/>
    </row>
    <row r="15" spans="1:9" x14ac:dyDescent="0.25">
      <c r="B15" s="1"/>
    </row>
    <row r="16" spans="1:9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C23"/>
  <sheetViews>
    <sheetView workbookViewId="0">
      <selection activeCell="B24" sqref="B24"/>
    </sheetView>
  </sheetViews>
  <sheetFormatPr defaultRowHeight="15" x14ac:dyDescent="0.25"/>
  <cols>
    <col min="2" max="2" width="16.7109375" customWidth="1"/>
    <col min="3" max="3" width="14.5703125" customWidth="1"/>
  </cols>
  <sheetData>
    <row r="1" spans="1:3" x14ac:dyDescent="0.25">
      <c r="A1" t="s">
        <v>0</v>
      </c>
      <c r="B1" t="s">
        <v>6</v>
      </c>
      <c r="C1" t="s">
        <v>13</v>
      </c>
    </row>
    <row r="2" spans="1:3" x14ac:dyDescent="0.25">
      <c r="A2">
        <v>3</v>
      </c>
      <c r="B2" t="s">
        <v>8</v>
      </c>
      <c r="C2" t="s">
        <v>16</v>
      </c>
    </row>
    <row r="3" spans="1:3" x14ac:dyDescent="0.25">
      <c r="A3">
        <v>4</v>
      </c>
      <c r="B3" t="s">
        <v>9</v>
      </c>
      <c r="C3" t="s">
        <v>14</v>
      </c>
    </row>
    <row r="4" spans="1:3" x14ac:dyDescent="0.25">
      <c r="A4">
        <v>7</v>
      </c>
      <c r="B4" t="s">
        <v>10</v>
      </c>
      <c r="C4" t="s">
        <v>14</v>
      </c>
    </row>
    <row r="5" spans="1:3" x14ac:dyDescent="0.25">
      <c r="A5">
        <v>8</v>
      </c>
      <c r="B5" t="s">
        <v>7</v>
      </c>
      <c r="C5" t="s">
        <v>16</v>
      </c>
    </row>
    <row r="6" spans="1:3" x14ac:dyDescent="0.25">
      <c r="A6">
        <v>9</v>
      </c>
      <c r="B6" t="s">
        <v>11</v>
      </c>
      <c r="C6" t="s">
        <v>14</v>
      </c>
    </row>
    <row r="7" spans="1:3" x14ac:dyDescent="0.25">
      <c r="A7">
        <v>12</v>
      </c>
      <c r="B7" t="s">
        <v>12</v>
      </c>
      <c r="C7" t="s">
        <v>16</v>
      </c>
    </row>
    <row r="8" spans="1:3" x14ac:dyDescent="0.25">
      <c r="A8">
        <v>13</v>
      </c>
      <c r="B8" t="s">
        <v>15</v>
      </c>
      <c r="C8" t="s">
        <v>16</v>
      </c>
    </row>
    <row r="9" spans="1:3" x14ac:dyDescent="0.25">
      <c r="A9">
        <v>14</v>
      </c>
      <c r="B9" t="s">
        <v>17</v>
      </c>
      <c r="C9" t="s">
        <v>14</v>
      </c>
    </row>
    <row r="10" spans="1:3" x14ac:dyDescent="0.25">
      <c r="A10">
        <v>15</v>
      </c>
      <c r="B10" t="s">
        <v>18</v>
      </c>
      <c r="C10" t="s">
        <v>14</v>
      </c>
    </row>
    <row r="11" spans="1:3" x14ac:dyDescent="0.25">
      <c r="A11">
        <v>16</v>
      </c>
      <c r="B11" t="s">
        <v>19</v>
      </c>
      <c r="C11" t="s">
        <v>14</v>
      </c>
    </row>
    <row r="12" spans="1:3" x14ac:dyDescent="0.25">
      <c r="A12">
        <v>17</v>
      </c>
      <c r="B12" t="s">
        <v>20</v>
      </c>
      <c r="C12" t="s">
        <v>16</v>
      </c>
    </row>
    <row r="13" spans="1:3" x14ac:dyDescent="0.25">
      <c r="A13">
        <v>18</v>
      </c>
      <c r="B13" t="s">
        <v>31</v>
      </c>
      <c r="C13" t="s">
        <v>14</v>
      </c>
    </row>
    <row r="14" spans="1:3" x14ac:dyDescent="0.25">
      <c r="A14">
        <v>19</v>
      </c>
      <c r="B14" t="s">
        <v>32</v>
      </c>
      <c r="C14" t="s">
        <v>14</v>
      </c>
    </row>
    <row r="15" spans="1:3" x14ac:dyDescent="0.25">
      <c r="A15">
        <v>20</v>
      </c>
      <c r="B15" t="s">
        <v>33</v>
      </c>
      <c r="C15" t="s">
        <v>16</v>
      </c>
    </row>
    <row r="16" spans="1:3" x14ac:dyDescent="0.25">
      <c r="A16">
        <v>21</v>
      </c>
      <c r="B16" t="s">
        <v>62</v>
      </c>
      <c r="C16" t="s">
        <v>14</v>
      </c>
    </row>
    <row r="17" spans="1:3" x14ac:dyDescent="0.25">
      <c r="A17">
        <v>22</v>
      </c>
      <c r="B17" t="s">
        <v>63</v>
      </c>
      <c r="C17" t="s">
        <v>16</v>
      </c>
    </row>
    <row r="18" spans="1:3" x14ac:dyDescent="0.25">
      <c r="A18">
        <v>23</v>
      </c>
      <c r="B18" t="s">
        <v>64</v>
      </c>
      <c r="C18" t="s">
        <v>14</v>
      </c>
    </row>
    <row r="19" spans="1:3" x14ac:dyDescent="0.25">
      <c r="A19">
        <v>24</v>
      </c>
      <c r="B19" t="s">
        <v>65</v>
      </c>
      <c r="C19" t="s">
        <v>14</v>
      </c>
    </row>
    <row r="20" spans="1:3" x14ac:dyDescent="0.25">
      <c r="A20">
        <v>25</v>
      </c>
      <c r="B20" t="s">
        <v>66</v>
      </c>
      <c r="C20" t="s">
        <v>14</v>
      </c>
    </row>
    <row r="21" spans="1:3" x14ac:dyDescent="0.25">
      <c r="A21">
        <v>26</v>
      </c>
      <c r="B21" t="s">
        <v>67</v>
      </c>
      <c r="C21" t="s">
        <v>16</v>
      </c>
    </row>
    <row r="22" spans="1:3" x14ac:dyDescent="0.25">
      <c r="A22">
        <v>27</v>
      </c>
      <c r="B22" t="s">
        <v>68</v>
      </c>
      <c r="C22" t="s">
        <v>14</v>
      </c>
    </row>
    <row r="23" spans="1:3" x14ac:dyDescent="0.25">
      <c r="A23">
        <v>28</v>
      </c>
      <c r="B23" t="s">
        <v>69</v>
      </c>
      <c r="C23" t="s">
        <v>14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3"/>
  <sheetViews>
    <sheetView tabSelected="1" workbookViewId="0">
      <selection activeCell="B2" sqref="B2"/>
    </sheetView>
  </sheetViews>
  <sheetFormatPr defaultRowHeight="15" x14ac:dyDescent="0.25"/>
  <sheetData>
    <row r="1" spans="1:2" x14ac:dyDescent="0.25">
      <c r="A1" t="s">
        <v>23</v>
      </c>
      <c r="B1" t="s">
        <v>24</v>
      </c>
    </row>
    <row r="2" spans="1:2" x14ac:dyDescent="0.25">
      <c r="A2" t="s">
        <v>25</v>
      </c>
      <c r="B2">
        <v>123</v>
      </c>
    </row>
    <row r="3" spans="1:2" x14ac:dyDescent="0.25">
      <c r="A3" t="s">
        <v>26</v>
      </c>
      <c r="B3">
        <v>456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F8"/>
  <sheetViews>
    <sheetView workbookViewId="0">
      <selection activeCell="F4" sqref="F4"/>
    </sheetView>
  </sheetViews>
  <sheetFormatPr defaultRowHeight="15" x14ac:dyDescent="0.25"/>
  <cols>
    <col min="1" max="1" width="7.28515625" style="7" customWidth="1"/>
    <col min="2" max="2" width="11" style="7" customWidth="1"/>
    <col min="3" max="3" width="18.5703125" style="7" customWidth="1"/>
    <col min="4" max="4" width="24.28515625" style="8" customWidth="1"/>
    <col min="5" max="5" width="13.42578125" style="8" customWidth="1"/>
    <col min="6" max="6" width="17" style="8" customWidth="1"/>
  </cols>
  <sheetData>
    <row r="1" spans="1:6" ht="21" x14ac:dyDescent="0.35">
      <c r="A1" s="15" t="s">
        <v>58</v>
      </c>
      <c r="B1" s="26" t="s">
        <v>59</v>
      </c>
      <c r="C1" s="21" t="s">
        <v>94</v>
      </c>
      <c r="D1" s="22" t="s">
        <v>95</v>
      </c>
      <c r="E1" s="19" t="s">
        <v>60</v>
      </c>
      <c r="F1" s="18" t="s">
        <v>61</v>
      </c>
    </row>
    <row r="2" spans="1:6" x14ac:dyDescent="0.25">
      <c r="A2" s="14" t="s">
        <v>34</v>
      </c>
      <c r="B2" s="26" t="s">
        <v>101</v>
      </c>
      <c r="C2" s="16" t="s">
        <v>106</v>
      </c>
      <c r="D2" s="17" t="s">
        <v>93</v>
      </c>
      <c r="E2" s="20" t="s">
        <v>39</v>
      </c>
      <c r="F2" s="18" t="s">
        <v>102</v>
      </c>
    </row>
    <row r="3" spans="1:6" x14ac:dyDescent="0.25">
      <c r="A3" s="6" t="s">
        <v>37</v>
      </c>
      <c r="B3" s="24" t="s">
        <v>36</v>
      </c>
      <c r="C3" s="6" t="s">
        <v>35</v>
      </c>
      <c r="D3" s="11" t="s">
        <v>40</v>
      </c>
      <c r="E3" s="11" t="s">
        <v>37</v>
      </c>
      <c r="F3" s="11" t="s">
        <v>38</v>
      </c>
    </row>
    <row r="4" spans="1:6" x14ac:dyDescent="0.25">
      <c r="A4" s="9" t="s">
        <v>91</v>
      </c>
      <c r="B4" s="25" t="s">
        <v>2</v>
      </c>
      <c r="C4" s="9" t="s">
        <v>92</v>
      </c>
      <c r="D4" s="10" t="s">
        <v>34</v>
      </c>
      <c r="E4" s="10" t="s">
        <v>21</v>
      </c>
      <c r="F4" s="10" t="s">
        <v>22</v>
      </c>
    </row>
    <row r="5" spans="1:6" x14ac:dyDescent="0.25">
      <c r="A5" s="7">
        <v>15</v>
      </c>
      <c r="B5" s="23">
        <v>43382</v>
      </c>
      <c r="D5" s="8" t="s">
        <v>75</v>
      </c>
      <c r="E5" s="8">
        <v>15</v>
      </c>
      <c r="F5" s="8" t="s">
        <v>11</v>
      </c>
    </row>
    <row r="6" spans="1:6" x14ac:dyDescent="0.25">
      <c r="A6" s="7">
        <v>19</v>
      </c>
      <c r="B6" s="23">
        <v>43398</v>
      </c>
      <c r="C6" s="7" t="s">
        <v>89</v>
      </c>
      <c r="D6" s="8" t="s">
        <v>85</v>
      </c>
      <c r="E6" s="8">
        <v>200</v>
      </c>
      <c r="F6" s="8" t="s">
        <v>11</v>
      </c>
    </row>
    <row r="7" spans="1:6" x14ac:dyDescent="0.25">
      <c r="A7" s="7">
        <v>22</v>
      </c>
      <c r="B7" s="23">
        <v>43402</v>
      </c>
      <c r="D7" s="8" t="s">
        <v>105</v>
      </c>
      <c r="E7" s="8">
        <v>300</v>
      </c>
      <c r="F7" s="8" t="s">
        <v>31</v>
      </c>
    </row>
    <row r="8" spans="1:6" x14ac:dyDescent="0.25">
      <c r="A8" s="7">
        <v>24</v>
      </c>
      <c r="B8" s="23">
        <v>43422</v>
      </c>
      <c r="C8" s="7" t="s">
        <v>99</v>
      </c>
      <c r="D8" s="8" t="s">
        <v>97</v>
      </c>
      <c r="E8" s="8">
        <v>400</v>
      </c>
      <c r="F8" s="8" t="s">
        <v>18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SISTEMA</vt:lpstr>
      <vt:lpstr>CADASTRO DE PRODUTOS</vt:lpstr>
      <vt:lpstr>ENTRADA</vt:lpstr>
      <vt:lpstr>SAIDA</vt:lpstr>
      <vt:lpstr>CADASTRO DE GRUPOS</vt:lpstr>
      <vt:lpstr>LOGIN</vt:lpstr>
      <vt:lpstr>PDF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Teixeira</dc:creator>
  <cp:lastModifiedBy>Douglas Teixeira</cp:lastModifiedBy>
  <cp:lastPrinted>2018-11-19T20:28:37Z</cp:lastPrinted>
  <dcterms:created xsi:type="dcterms:W3CDTF">2018-07-27T22:29:37Z</dcterms:created>
  <dcterms:modified xsi:type="dcterms:W3CDTF">2019-01-03T02:41:28Z</dcterms:modified>
</cp:coreProperties>
</file>